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houcomcol-my.sharepoint.com/personal/khalid_bukhari_hccs_edu/Documents/course material/LAB REVISION/final version/"/>
    </mc:Choice>
  </mc:AlternateContent>
  <bookViews>
    <workbookView xWindow="0" yWindow="0" windowWidth="28800" windowHeight="12300"/>
  </bookViews>
  <sheets>
    <sheet name="Template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8" i="1" l="1"/>
  <c r="S28" i="2" l="1"/>
  <c r="H28" i="2"/>
  <c r="S27" i="2"/>
  <c r="H27" i="2"/>
  <c r="S26" i="2"/>
  <c r="H26" i="2"/>
  <c r="U19" i="2"/>
  <c r="U20" i="2" s="1"/>
  <c r="U21" i="2" s="1"/>
  <c r="U22" i="2" s="1"/>
  <c r="Q26" i="2" s="1"/>
  <c r="U26" i="2" s="1"/>
  <c r="S19" i="2"/>
  <c r="S20" i="2" s="1"/>
  <c r="S21" i="2" s="1"/>
  <c r="S22" i="2" s="1"/>
  <c r="Q28" i="2" s="1"/>
  <c r="U28" i="2" s="1"/>
  <c r="Q19" i="2"/>
  <c r="J19" i="2"/>
  <c r="H19" i="2"/>
  <c r="H20" i="2" s="1"/>
  <c r="H21" i="2" s="1"/>
  <c r="H22" i="2" s="1"/>
  <c r="F19" i="2"/>
  <c r="F20" i="2" s="1"/>
  <c r="F21" i="2" s="1"/>
  <c r="F22" i="2" s="1"/>
  <c r="F26" i="2" s="1"/>
  <c r="J26" i="2" s="1"/>
  <c r="U17" i="2"/>
  <c r="S17" i="2"/>
  <c r="Q17" i="2"/>
  <c r="Q20" i="2" s="1"/>
  <c r="Q21" i="2" s="1"/>
  <c r="Q22" i="2" s="1"/>
  <c r="Q27" i="2" s="1"/>
  <c r="U27" i="2" s="1"/>
  <c r="J17" i="2"/>
  <c r="J20" i="2" s="1"/>
  <c r="J21" i="2" s="1"/>
  <c r="J22" i="2" s="1"/>
  <c r="F28" i="2" s="1"/>
  <c r="J28" i="2" s="1"/>
  <c r="H17" i="2"/>
  <c r="F17" i="2"/>
  <c r="F27" i="2" l="1"/>
  <c r="J27" i="2" s="1"/>
  <c r="F19" i="1"/>
  <c r="F17" i="1"/>
  <c r="S28" i="1"/>
  <c r="S27" i="1"/>
  <c r="Q17" i="1"/>
  <c r="S26" i="1"/>
  <c r="U19" i="1"/>
  <c r="S19" i="1"/>
  <c r="Q19" i="1"/>
  <c r="U17" i="1"/>
  <c r="S17" i="1"/>
  <c r="F20" i="1" l="1"/>
  <c r="F21" i="1" s="1"/>
  <c r="F22" i="1" s="1"/>
  <c r="S20" i="1"/>
  <c r="S21" i="1" s="1"/>
  <c r="S22" i="1" s="1"/>
  <c r="U20" i="1"/>
  <c r="U21" i="1" s="1"/>
  <c r="U22" i="1" s="1"/>
  <c r="Q26" i="1" s="1"/>
  <c r="U26" i="1" s="1"/>
  <c r="Q20" i="1"/>
  <c r="Q21" i="1" s="1"/>
  <c r="Q22" i="1" s="1"/>
  <c r="H17" i="1"/>
  <c r="H27" i="1"/>
  <c r="H26" i="1"/>
  <c r="J19" i="1"/>
  <c r="J17" i="1"/>
  <c r="H19" i="1"/>
  <c r="H20" i="1" l="1"/>
  <c r="H21" i="1" s="1"/>
  <c r="H22" i="1" s="1"/>
  <c r="Q27" i="1"/>
  <c r="U27" i="1" s="1"/>
  <c r="Q28" i="1"/>
  <c r="U28" i="1" s="1"/>
  <c r="J20" i="1"/>
  <c r="J21" i="1" s="1"/>
  <c r="J22" i="1" s="1"/>
  <c r="F28" i="1" s="1"/>
  <c r="J28" i="1" s="1"/>
  <c r="F26" i="1" l="1"/>
  <c r="J26" i="1" s="1"/>
  <c r="F27" i="1"/>
  <c r="J27" i="1" s="1"/>
</calcChain>
</file>

<file path=xl/sharedStrings.xml><?xml version="1.0" encoding="utf-8"?>
<sst xmlns="http://schemas.openxmlformats.org/spreadsheetml/2006/main" count="226" uniqueCount="70">
  <si>
    <t>Ring</t>
  </si>
  <si>
    <t>outer radius</t>
  </si>
  <si>
    <t>mass=</t>
  </si>
  <si>
    <t>inner radius=</t>
  </si>
  <si>
    <t>outer radius=</t>
  </si>
  <si>
    <t>disk</t>
  </si>
  <si>
    <t>radius=</t>
  </si>
  <si>
    <t>3 step pulley</t>
  </si>
  <si>
    <t>radius used=</t>
  </si>
  <si>
    <t>total hanging mass</t>
  </si>
  <si>
    <t>angular accel</t>
  </si>
  <si>
    <t>linear accel (eq 6)</t>
  </si>
  <si>
    <t>Friction mass</t>
  </si>
  <si>
    <t>Hanging mass Mth-Mf</t>
  </si>
  <si>
    <t>Tension in string (eq 5)</t>
  </si>
  <si>
    <t>Torque (eq 4)</t>
  </si>
  <si>
    <t>alpha</t>
  </si>
  <si>
    <t>accel</t>
  </si>
  <si>
    <t>m</t>
  </si>
  <si>
    <t>T</t>
  </si>
  <si>
    <t>tau</t>
  </si>
  <si>
    <t xml:space="preserve"> g</t>
  </si>
  <si>
    <t>g</t>
  </si>
  <si>
    <t>N</t>
  </si>
  <si>
    <t>Nm</t>
  </si>
  <si>
    <t>Run-1</t>
  </si>
  <si>
    <t>run-2</t>
  </si>
  <si>
    <t>run-3</t>
  </si>
  <si>
    <t>pulley</t>
  </si>
  <si>
    <t>gram</t>
  </si>
  <si>
    <t>cm</t>
  </si>
  <si>
    <t>I</t>
  </si>
  <si>
    <t>Moment of inertia (eq 3)</t>
  </si>
  <si>
    <t>experimental</t>
  </si>
  <si>
    <t>theoretical</t>
  </si>
  <si>
    <t>% error</t>
  </si>
  <si>
    <t>I for Ring</t>
  </si>
  <si>
    <t>I for disk</t>
  </si>
  <si>
    <t>I for pulley</t>
  </si>
  <si>
    <t>RING AND DISK</t>
  </si>
  <si>
    <t>POINT MASSES</t>
  </si>
  <si>
    <t>ROD</t>
  </si>
  <si>
    <t>mass-2=</t>
  </si>
  <si>
    <t>mass-1=</t>
  </si>
  <si>
    <t>LENGTH=</t>
  </si>
  <si>
    <t>DISTANCE-FAR=</t>
  </si>
  <si>
    <t>NEAR=</t>
  </si>
  <si>
    <t>ROD ONLY</t>
  </si>
  <si>
    <t>I for ROD</t>
  </si>
  <si>
    <t>I for masses - large radius</t>
  </si>
  <si>
    <t>I for masses - small radius</t>
  </si>
  <si>
    <t>ROTATIONAL INERTIA USING THE ROTARY MOTION SENSOR</t>
  </si>
  <si>
    <t>E13B-</t>
  </si>
  <si>
    <t>pulley + disk</t>
  </si>
  <si>
    <t>pulley + disk + ring</t>
  </si>
  <si>
    <t>ROD + MASSES FAR</t>
  </si>
  <si>
    <t>ROD + MASSES NEAR</t>
  </si>
  <si>
    <t>FILL IN THE DATA FOR THE HIGHLIGHTED AREAS, TO GET ALL THE RESULTS</t>
  </si>
  <si>
    <r>
      <t>M</t>
    </r>
    <r>
      <rPr>
        <vertAlign val="subscript"/>
        <sz val="13"/>
        <color theme="1"/>
        <rFont val="Times New Roman"/>
        <family val="1"/>
      </rPr>
      <t>TH</t>
    </r>
  </si>
  <si>
    <r>
      <t>rad/s</t>
    </r>
    <r>
      <rPr>
        <vertAlign val="superscript"/>
        <sz val="13"/>
        <color theme="1"/>
        <rFont val="Times New Roman"/>
        <family val="1"/>
      </rPr>
      <t>2</t>
    </r>
  </si>
  <si>
    <r>
      <t>m/s</t>
    </r>
    <r>
      <rPr>
        <vertAlign val="superscript"/>
        <sz val="13"/>
        <color theme="1"/>
        <rFont val="Times New Roman"/>
        <family val="1"/>
      </rPr>
      <t>2</t>
    </r>
  </si>
  <si>
    <r>
      <t>M</t>
    </r>
    <r>
      <rPr>
        <vertAlign val="subscript"/>
        <sz val="13"/>
        <color theme="1"/>
        <rFont val="Times New Roman"/>
        <family val="1"/>
      </rPr>
      <t>f</t>
    </r>
  </si>
  <si>
    <r>
      <t>kg.m</t>
    </r>
    <r>
      <rPr>
        <vertAlign val="superscript"/>
        <sz val="13"/>
        <color theme="1"/>
        <rFont val="Times New Roman"/>
        <family val="1"/>
      </rPr>
      <t>2</t>
    </r>
  </si>
  <si>
    <t>elizabeth chong</t>
  </si>
  <si>
    <t>Rod only, includes pulley</t>
  </si>
  <si>
    <r>
      <t>mass M</t>
    </r>
    <r>
      <rPr>
        <vertAlign val="subscript"/>
        <sz val="13"/>
        <color theme="1"/>
        <rFont val="Times New Roman"/>
        <family val="1"/>
      </rPr>
      <t>R</t>
    </r>
    <r>
      <rPr>
        <sz val="13"/>
        <color theme="1"/>
        <rFont val="Times New Roman"/>
        <family val="1"/>
      </rPr>
      <t>=</t>
    </r>
  </si>
  <si>
    <r>
      <t>mass M</t>
    </r>
    <r>
      <rPr>
        <vertAlign val="subscript"/>
        <sz val="13"/>
        <color theme="1"/>
        <rFont val="Times New Roman"/>
        <family val="1"/>
      </rPr>
      <t>D</t>
    </r>
    <r>
      <rPr>
        <sz val="13"/>
        <color theme="1"/>
        <rFont val="Times New Roman"/>
        <family val="1"/>
      </rPr>
      <t>=</t>
    </r>
  </si>
  <si>
    <r>
      <t>inner radius R</t>
    </r>
    <r>
      <rPr>
        <vertAlign val="subscript"/>
        <sz val="13"/>
        <color theme="1"/>
        <rFont val="Times New Roman"/>
        <family val="1"/>
      </rPr>
      <t>1</t>
    </r>
    <r>
      <rPr>
        <sz val="13"/>
        <color theme="1"/>
        <rFont val="Times New Roman"/>
        <family val="1"/>
      </rPr>
      <t>=</t>
    </r>
  </si>
  <si>
    <r>
      <t>outer radius R</t>
    </r>
    <r>
      <rPr>
        <vertAlign val="subscript"/>
        <sz val="13"/>
        <color theme="1"/>
        <rFont val="Times New Roman"/>
        <family val="1"/>
      </rPr>
      <t>2</t>
    </r>
    <r>
      <rPr>
        <sz val="13"/>
        <color theme="1"/>
        <rFont val="Times New Roman"/>
        <family val="1"/>
      </rPr>
      <t>=</t>
    </r>
  </si>
  <si>
    <t>radius 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</si>
</sst>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"/>
    <numFmt numFmtId="166" formatCode="0.0000"/>
    <numFmt numFmtId="167" formatCode="0.00000"/>
    <numFmt numFmtId="168" formatCode="0.000E+00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vertAlign val="subscript"/>
      <sz val="13"/>
      <color theme="1"/>
      <name val="Times New Roman"/>
      <family val="1"/>
    </font>
    <font>
      <vertAlign val="superscript"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7" xfId="0" applyFont="1" applyFill="1" applyBorder="1"/>
    <xf numFmtId="0" fontId="1" fillId="2" borderId="9" xfId="0" applyFont="1" applyFill="1" applyBorder="1"/>
    <xf numFmtId="0" fontId="1" fillId="0" borderId="9" xfId="0" applyFont="1" applyFill="1" applyBorder="1"/>
    <xf numFmtId="0" fontId="1" fillId="0" borderId="9" xfId="0" applyFont="1" applyBorder="1"/>
    <xf numFmtId="0" fontId="1" fillId="3" borderId="9" xfId="0" applyFont="1" applyFill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1" fillId="0" borderId="5" xfId="0" applyFont="1" applyFill="1" applyBorder="1"/>
    <xf numFmtId="0" fontId="1" fillId="0" borderId="7" xfId="0" applyFont="1" applyFill="1" applyBorder="1"/>
    <xf numFmtId="0" fontId="1" fillId="0" borderId="5" xfId="0" applyFont="1" applyBorder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7" xfId="0" applyNumberFormat="1" applyFont="1" applyFill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167" fontId="1" fillId="0" borderId="7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8" fontId="1" fillId="0" borderId="7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165" fontId="1" fillId="0" borderId="7" xfId="0" applyNumberFormat="1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11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1" fontId="1" fillId="0" borderId="7" xfId="0" applyNumberFormat="1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168" fontId="1" fillId="0" borderId="10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1" fontId="1" fillId="0" borderId="10" xfId="0" applyNumberFormat="1" applyFont="1" applyBorder="1" applyAlignment="1">
      <alignment vertical="center"/>
    </xf>
    <xf numFmtId="0" fontId="1" fillId="4" borderId="1" xfId="0" applyFont="1" applyFill="1" applyBorder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2" xfId="0" applyFont="1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32"/>
  <sheetViews>
    <sheetView tabSelected="1" workbookViewId="0">
      <selection activeCell="G3" sqref="G3"/>
    </sheetView>
  </sheetViews>
  <sheetFormatPr defaultRowHeight="16.5" x14ac:dyDescent="0.25"/>
  <cols>
    <col min="1" max="2" width="9.140625" style="1"/>
    <col min="3" max="3" width="23.7109375" style="1" customWidth="1"/>
    <col min="4" max="4" width="11" style="1" customWidth="1"/>
    <col min="5" max="5" width="7" style="1" customWidth="1"/>
    <col min="6" max="6" width="14.140625" style="1" customWidth="1"/>
    <col min="7" max="7" width="16.140625" style="1" customWidth="1"/>
    <col min="8" max="8" width="12.7109375" style="1" customWidth="1"/>
    <col min="9" max="9" width="9.5703125" style="1" customWidth="1"/>
    <col min="10" max="10" width="16.28515625" style="1" customWidth="1"/>
    <col min="11" max="11" width="9" style="1" customWidth="1"/>
    <col min="12" max="12" width="3.5703125" style="1" customWidth="1"/>
    <col min="13" max="13" width="7" style="1" customWidth="1"/>
    <col min="14" max="14" width="23.28515625" style="1" customWidth="1"/>
    <col min="15" max="15" width="9.140625" style="1"/>
    <col min="16" max="16" width="7" style="1" customWidth="1"/>
    <col min="17" max="17" width="13.5703125" style="1" customWidth="1"/>
    <col min="18" max="18" width="14.85546875" style="1" customWidth="1"/>
    <col min="19" max="19" width="13" style="1" customWidth="1"/>
    <col min="20" max="20" width="4.140625" style="1" customWidth="1"/>
    <col min="21" max="21" width="11.85546875" style="1" bestFit="1" customWidth="1"/>
    <col min="22" max="22" width="9.42578125" style="1" bestFit="1" customWidth="1"/>
    <col min="23" max="23" width="5.140625" style="1" customWidth="1"/>
    <col min="24" max="16384" width="9.140625" style="1"/>
  </cols>
  <sheetData>
    <row r="3" spans="2:22" x14ac:dyDescent="0.25">
      <c r="B3" s="1" t="s">
        <v>52</v>
      </c>
      <c r="C3" s="1" t="s">
        <v>51</v>
      </c>
    </row>
    <row r="4" spans="2:22" x14ac:dyDescent="0.25">
      <c r="C4" s="1" t="s">
        <v>57</v>
      </c>
    </row>
    <row r="5" spans="2:22" ht="17.25" thickBot="1" x14ac:dyDescent="0.3"/>
    <row r="6" spans="2:22" x14ac:dyDescent="0.25">
      <c r="C6" s="48" t="s">
        <v>39</v>
      </c>
      <c r="D6" s="3"/>
      <c r="E6" s="3"/>
      <c r="F6" s="3"/>
      <c r="G6" s="3"/>
      <c r="H6" s="3"/>
      <c r="I6" s="3"/>
      <c r="J6" s="3"/>
      <c r="K6" s="4"/>
      <c r="N6" s="48" t="s">
        <v>40</v>
      </c>
      <c r="O6" s="3"/>
      <c r="P6" s="3"/>
      <c r="Q6" s="3"/>
      <c r="R6" s="3"/>
      <c r="S6" s="3"/>
      <c r="T6" s="3"/>
      <c r="U6" s="3"/>
      <c r="V6" s="4"/>
    </row>
    <row r="7" spans="2:22" x14ac:dyDescent="0.25">
      <c r="C7" s="5"/>
      <c r="D7" s="6"/>
      <c r="E7" s="7" t="s">
        <v>29</v>
      </c>
      <c r="F7" s="7"/>
      <c r="G7" s="7"/>
      <c r="H7" s="7" t="s">
        <v>30</v>
      </c>
      <c r="I7" s="7"/>
      <c r="J7" s="7"/>
      <c r="K7" s="8" t="s">
        <v>30</v>
      </c>
      <c r="N7" s="5"/>
      <c r="O7" s="6"/>
      <c r="P7" s="9" t="s">
        <v>29</v>
      </c>
      <c r="Q7" s="9"/>
      <c r="R7" s="9"/>
      <c r="S7" s="9" t="s">
        <v>30</v>
      </c>
      <c r="T7" s="9"/>
      <c r="U7" s="9"/>
      <c r="V7" s="10" t="s">
        <v>30</v>
      </c>
    </row>
    <row r="8" spans="2:22" ht="19.5" x14ac:dyDescent="0.35">
      <c r="C8" s="5" t="s">
        <v>0</v>
      </c>
      <c r="D8" s="6" t="s">
        <v>65</v>
      </c>
      <c r="E8" s="11">
        <v>467</v>
      </c>
      <c r="F8" s="6"/>
      <c r="G8" s="6" t="s">
        <v>67</v>
      </c>
      <c r="H8" s="11">
        <v>2.75</v>
      </c>
      <c r="I8" s="6"/>
      <c r="J8" s="6" t="s">
        <v>68</v>
      </c>
      <c r="K8" s="12">
        <v>3.38</v>
      </c>
      <c r="N8" s="5" t="s">
        <v>41</v>
      </c>
      <c r="O8" s="6" t="s">
        <v>2</v>
      </c>
      <c r="P8" s="11">
        <v>27.5</v>
      </c>
      <c r="Q8" s="6"/>
      <c r="R8" s="6" t="s">
        <v>44</v>
      </c>
      <c r="S8" s="11">
        <v>38.200000000000003</v>
      </c>
      <c r="T8" s="6"/>
      <c r="U8" s="6"/>
      <c r="V8" s="13"/>
    </row>
    <row r="9" spans="2:22" ht="19.5" x14ac:dyDescent="0.35">
      <c r="C9" s="5" t="s">
        <v>5</v>
      </c>
      <c r="D9" s="6" t="s">
        <v>66</v>
      </c>
      <c r="E9" s="11">
        <v>120</v>
      </c>
      <c r="F9" s="6"/>
      <c r="G9" s="6" t="s">
        <v>69</v>
      </c>
      <c r="H9" s="11">
        <v>4.76</v>
      </c>
      <c r="I9" s="6"/>
      <c r="J9" s="6"/>
      <c r="K9" s="14"/>
      <c r="N9" s="5" t="s">
        <v>40</v>
      </c>
      <c r="O9" s="6" t="s">
        <v>43</v>
      </c>
      <c r="P9" s="11">
        <v>75.5</v>
      </c>
      <c r="Q9" s="6"/>
      <c r="R9" s="6" t="s">
        <v>45</v>
      </c>
      <c r="S9" s="11">
        <v>18.100000000000001</v>
      </c>
      <c r="T9" s="6"/>
      <c r="U9" s="6" t="s">
        <v>46</v>
      </c>
      <c r="V9" s="15">
        <v>4.1500000000000004</v>
      </c>
    </row>
    <row r="10" spans="2:22" x14ac:dyDescent="0.25">
      <c r="C10" s="5" t="s">
        <v>7</v>
      </c>
      <c r="D10" s="6" t="s">
        <v>2</v>
      </c>
      <c r="E10" s="11">
        <v>6.8</v>
      </c>
      <c r="F10" s="6"/>
      <c r="G10" s="6" t="s">
        <v>8</v>
      </c>
      <c r="H10" s="11">
        <v>1.44</v>
      </c>
      <c r="I10" s="6"/>
      <c r="J10" s="6" t="s">
        <v>1</v>
      </c>
      <c r="K10" s="12">
        <v>4.7</v>
      </c>
      <c r="N10" s="5"/>
      <c r="O10" s="6" t="s">
        <v>42</v>
      </c>
      <c r="P10" s="11">
        <v>75.5</v>
      </c>
      <c r="Q10" s="6"/>
      <c r="R10" s="6" t="s">
        <v>45</v>
      </c>
      <c r="S10" s="11">
        <v>18.100000000000001</v>
      </c>
      <c r="T10" s="6"/>
      <c r="U10" s="6" t="s">
        <v>46</v>
      </c>
      <c r="V10" s="12">
        <v>4.1500000000000004</v>
      </c>
    </row>
    <row r="11" spans="2:22" x14ac:dyDescent="0.25">
      <c r="C11" s="16"/>
      <c r="D11" s="17"/>
      <c r="E11" s="18"/>
      <c r="F11" s="18"/>
      <c r="G11" s="18"/>
      <c r="H11" s="18"/>
      <c r="I11" s="18"/>
      <c r="J11" s="18"/>
      <c r="K11" s="19"/>
      <c r="N11" s="5" t="s">
        <v>7</v>
      </c>
      <c r="O11" s="6"/>
      <c r="P11" s="20"/>
      <c r="Q11" s="6"/>
      <c r="R11" s="6" t="s">
        <v>8</v>
      </c>
      <c r="S11" s="11">
        <v>2.71</v>
      </c>
      <c r="T11" s="17"/>
      <c r="U11" s="17"/>
      <c r="V11" s="19"/>
    </row>
    <row r="12" spans="2:22" x14ac:dyDescent="0.25">
      <c r="C12" s="16"/>
      <c r="D12" s="17"/>
      <c r="E12" s="17"/>
      <c r="F12" s="17"/>
      <c r="G12" s="17"/>
      <c r="H12" s="17"/>
      <c r="I12" s="17"/>
      <c r="J12" s="17"/>
      <c r="K12" s="21"/>
      <c r="N12" s="16"/>
      <c r="O12" s="17"/>
      <c r="P12" s="17"/>
      <c r="Q12" s="17"/>
      <c r="R12" s="17"/>
      <c r="S12" s="17"/>
      <c r="T12" s="17"/>
      <c r="U12" s="17"/>
      <c r="V12" s="21"/>
    </row>
    <row r="13" spans="2:22" s="22" customFormat="1" x14ac:dyDescent="0.25">
      <c r="C13" s="23"/>
      <c r="D13" s="9"/>
      <c r="E13" s="9"/>
      <c r="F13" s="9" t="s">
        <v>25</v>
      </c>
      <c r="G13" s="9"/>
      <c r="H13" s="9" t="s">
        <v>26</v>
      </c>
      <c r="I13" s="9"/>
      <c r="J13" s="9" t="s">
        <v>27</v>
      </c>
      <c r="K13" s="24"/>
      <c r="N13" s="23"/>
      <c r="O13" s="9"/>
      <c r="P13" s="9"/>
      <c r="Q13" s="9" t="s">
        <v>25</v>
      </c>
      <c r="R13" s="9"/>
      <c r="S13" s="9" t="s">
        <v>26</v>
      </c>
      <c r="T13" s="9"/>
      <c r="U13" s="9" t="s">
        <v>27</v>
      </c>
      <c r="V13" s="24"/>
    </row>
    <row r="14" spans="2:22" ht="49.5" x14ac:dyDescent="0.25">
      <c r="C14" s="5"/>
      <c r="D14" s="6"/>
      <c r="E14" s="6"/>
      <c r="F14" s="25" t="s">
        <v>54</v>
      </c>
      <c r="G14" s="9"/>
      <c r="H14" s="25" t="s">
        <v>53</v>
      </c>
      <c r="I14" s="9"/>
      <c r="J14" s="25" t="s">
        <v>28</v>
      </c>
      <c r="K14" s="21"/>
      <c r="N14" s="5"/>
      <c r="O14" s="6"/>
      <c r="P14" s="6"/>
      <c r="Q14" s="25" t="s">
        <v>55</v>
      </c>
      <c r="R14" s="9"/>
      <c r="S14" s="25" t="s">
        <v>56</v>
      </c>
      <c r="T14" s="9"/>
      <c r="U14" s="25" t="s">
        <v>47</v>
      </c>
      <c r="V14" s="21"/>
    </row>
    <row r="15" spans="2:22" s="26" customFormat="1" ht="24.95" customHeight="1" x14ac:dyDescent="0.25">
      <c r="C15" s="27" t="s">
        <v>9</v>
      </c>
      <c r="D15" s="9" t="s">
        <v>58</v>
      </c>
      <c r="E15" s="9" t="s">
        <v>21</v>
      </c>
      <c r="F15" s="28">
        <v>55</v>
      </c>
      <c r="G15" s="29"/>
      <c r="H15" s="28">
        <v>55</v>
      </c>
      <c r="I15" s="29"/>
      <c r="J15" s="28">
        <v>5</v>
      </c>
      <c r="K15" s="30"/>
      <c r="N15" s="27" t="s">
        <v>9</v>
      </c>
      <c r="O15" s="9" t="s">
        <v>58</v>
      </c>
      <c r="P15" s="9" t="s">
        <v>21</v>
      </c>
      <c r="Q15" s="28">
        <v>25</v>
      </c>
      <c r="R15" s="29"/>
      <c r="S15" s="28">
        <v>25</v>
      </c>
      <c r="T15" s="29"/>
      <c r="U15" s="28">
        <v>5</v>
      </c>
      <c r="V15" s="30"/>
    </row>
    <row r="16" spans="2:22" s="26" customFormat="1" ht="24.95" customHeight="1" x14ac:dyDescent="0.25">
      <c r="C16" s="27" t="s">
        <v>10</v>
      </c>
      <c r="D16" s="9" t="s">
        <v>16</v>
      </c>
      <c r="E16" s="9" t="s">
        <v>59</v>
      </c>
      <c r="F16" s="28">
        <v>12</v>
      </c>
      <c r="G16" s="29"/>
      <c r="H16" s="28">
        <v>51.5</v>
      </c>
      <c r="I16" s="29"/>
      <c r="J16" s="28">
        <v>126</v>
      </c>
      <c r="K16" s="30"/>
      <c r="N16" s="27" t="s">
        <v>10</v>
      </c>
      <c r="O16" s="9" t="s">
        <v>16</v>
      </c>
      <c r="P16" s="9" t="s">
        <v>59</v>
      </c>
      <c r="Q16" s="28">
        <v>0.66</v>
      </c>
      <c r="R16" s="29"/>
      <c r="S16" s="28">
        <v>6.31</v>
      </c>
      <c r="T16" s="29"/>
      <c r="U16" s="28">
        <v>1.96</v>
      </c>
      <c r="V16" s="30"/>
    </row>
    <row r="17" spans="3:22" s="26" customFormat="1" ht="24.95" customHeight="1" x14ac:dyDescent="0.25">
      <c r="C17" s="27" t="s">
        <v>11</v>
      </c>
      <c r="D17" s="9" t="s">
        <v>17</v>
      </c>
      <c r="E17" s="9" t="s">
        <v>60</v>
      </c>
      <c r="F17" s="31">
        <f>($H$10/100)*F16</f>
        <v>0.17280000000000001</v>
      </c>
      <c r="G17" s="29"/>
      <c r="H17" s="31">
        <f>($H$10/100)*H16</f>
        <v>0.74159999999999993</v>
      </c>
      <c r="I17" s="29"/>
      <c r="J17" s="32">
        <f>($H$10/100)*J16</f>
        <v>1.8144</v>
      </c>
      <c r="K17" s="30"/>
      <c r="N17" s="27" t="s">
        <v>11</v>
      </c>
      <c r="O17" s="9" t="s">
        <v>17</v>
      </c>
      <c r="P17" s="9" t="s">
        <v>60</v>
      </c>
      <c r="Q17" s="33">
        <f>($S$11/100)*Q16</f>
        <v>1.7885999999999999E-2</v>
      </c>
      <c r="R17" s="29"/>
      <c r="S17" s="34">
        <f>($S$11/100)*S16</f>
        <v>0.17100099999999999</v>
      </c>
      <c r="T17" s="29"/>
      <c r="U17" s="34">
        <f>($S$11/100)*U16</f>
        <v>5.3115999999999997E-2</v>
      </c>
      <c r="V17" s="30"/>
    </row>
    <row r="18" spans="3:22" s="26" customFormat="1" ht="24.95" customHeight="1" x14ac:dyDescent="0.25">
      <c r="C18" s="27" t="s">
        <v>12</v>
      </c>
      <c r="D18" s="9" t="s">
        <v>61</v>
      </c>
      <c r="E18" s="9" t="s">
        <v>22</v>
      </c>
      <c r="F18" s="28">
        <v>1</v>
      </c>
      <c r="G18" s="29"/>
      <c r="H18" s="28">
        <v>0.5</v>
      </c>
      <c r="I18" s="29"/>
      <c r="J18" s="28">
        <v>0</v>
      </c>
      <c r="K18" s="30"/>
      <c r="N18" s="27" t="s">
        <v>12</v>
      </c>
      <c r="O18" s="9" t="s">
        <v>61</v>
      </c>
      <c r="P18" s="9" t="s">
        <v>22</v>
      </c>
      <c r="Q18" s="28">
        <v>1</v>
      </c>
      <c r="R18" s="29"/>
      <c r="S18" s="28">
        <v>0.5</v>
      </c>
      <c r="T18" s="29"/>
      <c r="U18" s="28">
        <v>0</v>
      </c>
      <c r="V18" s="30"/>
    </row>
    <row r="19" spans="3:22" s="26" customFormat="1" ht="24.95" customHeight="1" x14ac:dyDescent="0.25">
      <c r="C19" s="27" t="s">
        <v>13</v>
      </c>
      <c r="D19" s="9" t="s">
        <v>18</v>
      </c>
      <c r="E19" s="9" t="s">
        <v>22</v>
      </c>
      <c r="F19" s="32">
        <f>F15-F18</f>
        <v>54</v>
      </c>
      <c r="G19" s="29"/>
      <c r="H19" s="32">
        <f>H15-H18</f>
        <v>54.5</v>
      </c>
      <c r="I19" s="29"/>
      <c r="J19" s="32">
        <f>J15-J18</f>
        <v>5</v>
      </c>
      <c r="K19" s="30"/>
      <c r="N19" s="27" t="s">
        <v>13</v>
      </c>
      <c r="O19" s="9" t="s">
        <v>18</v>
      </c>
      <c r="P19" s="9" t="s">
        <v>22</v>
      </c>
      <c r="Q19" s="32">
        <f>Q15-Q18</f>
        <v>24</v>
      </c>
      <c r="R19" s="29"/>
      <c r="S19" s="32">
        <f>S15-S18</f>
        <v>24.5</v>
      </c>
      <c r="T19" s="29"/>
      <c r="U19" s="32">
        <f>U15-U18</f>
        <v>5</v>
      </c>
      <c r="V19" s="30"/>
    </row>
    <row r="20" spans="3:22" s="26" customFormat="1" ht="24.95" customHeight="1" x14ac:dyDescent="0.25">
      <c r="C20" s="27" t="s">
        <v>14</v>
      </c>
      <c r="D20" s="9" t="s">
        <v>19</v>
      </c>
      <c r="E20" s="9" t="s">
        <v>23</v>
      </c>
      <c r="F20" s="35">
        <f>(F19/1000)*(9.8-F17)</f>
        <v>0.51986880000000002</v>
      </c>
      <c r="G20" s="29"/>
      <c r="H20" s="35">
        <f>(H19/1000)*(9.8-H17)</f>
        <v>0.49368280000000003</v>
      </c>
      <c r="I20" s="29"/>
      <c r="J20" s="35">
        <f>(J19/1000)*(9.8-J17)</f>
        <v>3.9928000000000005E-2</v>
      </c>
      <c r="K20" s="30"/>
      <c r="N20" s="27" t="s">
        <v>14</v>
      </c>
      <c r="O20" s="9" t="s">
        <v>19</v>
      </c>
      <c r="P20" s="9" t="s">
        <v>23</v>
      </c>
      <c r="Q20" s="35">
        <f>(Q19/1000)*(9.8-Q17)</f>
        <v>0.23477073600000001</v>
      </c>
      <c r="R20" s="29"/>
      <c r="S20" s="35">
        <f>(S19/1000)*(9.8-S17)</f>
        <v>0.23591047550000002</v>
      </c>
      <c r="T20" s="29"/>
      <c r="U20" s="35">
        <f>(U19/1000)*(9.8-U17)</f>
        <v>4.8734420000000007E-2</v>
      </c>
      <c r="V20" s="30"/>
    </row>
    <row r="21" spans="3:22" s="26" customFormat="1" ht="24.95" customHeight="1" x14ac:dyDescent="0.25">
      <c r="C21" s="27" t="s">
        <v>15</v>
      </c>
      <c r="D21" s="9" t="s">
        <v>20</v>
      </c>
      <c r="E21" s="9" t="s">
        <v>24</v>
      </c>
      <c r="F21" s="35">
        <f>($H$10/100)*F20</f>
        <v>7.4861107200000004E-3</v>
      </c>
      <c r="G21" s="29"/>
      <c r="H21" s="35">
        <f>($H$10/100)*H20</f>
        <v>7.10903232E-3</v>
      </c>
      <c r="I21" s="29"/>
      <c r="J21" s="35">
        <f>($H$10/100)*J20</f>
        <v>5.7496320000000002E-4</v>
      </c>
      <c r="K21" s="30"/>
      <c r="N21" s="27" t="s">
        <v>15</v>
      </c>
      <c r="O21" s="9" t="s">
        <v>20</v>
      </c>
      <c r="P21" s="9" t="s">
        <v>24</v>
      </c>
      <c r="Q21" s="35">
        <f>($S$11/100)*Q20</f>
        <v>6.3622869456000002E-3</v>
      </c>
      <c r="R21" s="29"/>
      <c r="S21" s="35">
        <f>($S$11/100)*S20</f>
        <v>6.3931738860500001E-3</v>
      </c>
      <c r="T21" s="29"/>
      <c r="U21" s="35">
        <f>($S$11/100)*U20</f>
        <v>1.3207027820000001E-3</v>
      </c>
      <c r="V21" s="30"/>
    </row>
    <row r="22" spans="3:22" s="26" customFormat="1" ht="24.95" customHeight="1" x14ac:dyDescent="0.25">
      <c r="C22" s="27" t="s">
        <v>32</v>
      </c>
      <c r="D22" s="9" t="s">
        <v>31</v>
      </c>
      <c r="E22" s="9" t="s">
        <v>62</v>
      </c>
      <c r="F22" s="35">
        <f>F21/F16</f>
        <v>6.2384256000000003E-4</v>
      </c>
      <c r="G22" s="29"/>
      <c r="H22" s="35">
        <f>H21/H16</f>
        <v>1.3803946252427185E-4</v>
      </c>
      <c r="I22" s="29"/>
      <c r="J22" s="35">
        <f>J21/J16</f>
        <v>4.5631999999999998E-6</v>
      </c>
      <c r="K22" s="30"/>
      <c r="N22" s="27" t="s">
        <v>32</v>
      </c>
      <c r="O22" s="9" t="s">
        <v>31</v>
      </c>
      <c r="P22" s="9" t="s">
        <v>62</v>
      </c>
      <c r="Q22" s="35">
        <f>Q21/Q16</f>
        <v>9.6398287054545451E-3</v>
      </c>
      <c r="R22" s="29"/>
      <c r="S22" s="35">
        <f>S21/S16</f>
        <v>1.0131812814659271E-3</v>
      </c>
      <c r="T22" s="29"/>
      <c r="U22" s="35">
        <f>U21/U16</f>
        <v>6.7382795000000011E-4</v>
      </c>
      <c r="V22" s="30"/>
    </row>
    <row r="23" spans="3:22" x14ac:dyDescent="0.25">
      <c r="C23" s="16"/>
      <c r="D23" s="36"/>
      <c r="E23" s="36"/>
      <c r="F23" s="17"/>
      <c r="G23" s="17"/>
      <c r="H23" s="17"/>
      <c r="I23" s="17"/>
      <c r="J23" s="17"/>
      <c r="K23" s="21"/>
      <c r="N23" s="16"/>
      <c r="O23" s="36"/>
      <c r="P23" s="36"/>
      <c r="Q23" s="17"/>
      <c r="R23" s="17"/>
      <c r="S23" s="17"/>
      <c r="T23" s="17"/>
      <c r="U23" s="17"/>
      <c r="V23" s="21"/>
    </row>
    <row r="24" spans="3:22" x14ac:dyDescent="0.25">
      <c r="C24" s="16"/>
      <c r="D24" s="36"/>
      <c r="E24" s="36"/>
      <c r="F24" s="17"/>
      <c r="G24" s="17"/>
      <c r="H24" s="17"/>
      <c r="I24" s="17"/>
      <c r="J24" s="17"/>
      <c r="K24" s="21"/>
      <c r="N24" s="16"/>
      <c r="O24" s="36"/>
      <c r="P24" s="36"/>
      <c r="Q24" s="17"/>
      <c r="R24" s="17"/>
      <c r="S24" s="17"/>
      <c r="T24" s="17"/>
      <c r="U24" s="17"/>
      <c r="V24" s="21"/>
    </row>
    <row r="25" spans="3:22" x14ac:dyDescent="0.25">
      <c r="C25" s="5"/>
      <c r="D25" s="7"/>
      <c r="E25" s="7"/>
      <c r="F25" s="9" t="s">
        <v>33</v>
      </c>
      <c r="G25" s="9"/>
      <c r="H25" s="9" t="s">
        <v>34</v>
      </c>
      <c r="I25" s="9"/>
      <c r="J25" s="9" t="s">
        <v>35</v>
      </c>
      <c r="K25" s="21"/>
      <c r="N25" s="55"/>
      <c r="O25" s="56"/>
      <c r="P25" s="7"/>
      <c r="Q25" s="9" t="s">
        <v>33</v>
      </c>
      <c r="R25" s="9"/>
      <c r="S25" s="9" t="s">
        <v>34</v>
      </c>
      <c r="T25" s="9"/>
      <c r="U25" s="9" t="s">
        <v>35</v>
      </c>
      <c r="V25" s="21"/>
    </row>
    <row r="26" spans="3:22" s="26" customFormat="1" ht="24.95" customHeight="1" x14ac:dyDescent="0.25">
      <c r="C26" s="51" t="s">
        <v>36</v>
      </c>
      <c r="D26" s="52"/>
      <c r="E26" s="9" t="s">
        <v>62</v>
      </c>
      <c r="F26" s="35">
        <f>F22-H22</f>
        <v>4.8580309747572816E-4</v>
      </c>
      <c r="G26" s="29"/>
      <c r="H26" s="35">
        <f>0.5*($E$8/1000)*(H8*H8+K8*K8)/10000</f>
        <v>4.43344115E-4</v>
      </c>
      <c r="I26" s="29"/>
      <c r="J26" s="37">
        <f>100*ABS(F26-H26)/H26</f>
        <v>9.5769811844075452</v>
      </c>
      <c r="K26" s="30"/>
      <c r="N26" s="49" t="s">
        <v>48</v>
      </c>
      <c r="O26" s="50"/>
      <c r="P26" s="38" t="s">
        <v>62</v>
      </c>
      <c r="Q26" s="39">
        <f>U22</f>
        <v>6.7382795000000011E-4</v>
      </c>
      <c r="R26" s="39"/>
      <c r="S26" s="39">
        <f>(1/12)*(P8/1000)*S8*S8/10000</f>
        <v>3.3440916666666672E-4</v>
      </c>
      <c r="T26" s="40"/>
      <c r="U26" s="37">
        <f>100*ABS(Q26-S26)/S26</f>
        <v>101.49805004348467</v>
      </c>
      <c r="V26" s="30"/>
    </row>
    <row r="27" spans="3:22" s="26" customFormat="1" ht="24.95" customHeight="1" x14ac:dyDescent="0.25">
      <c r="C27" s="51" t="s">
        <v>37</v>
      </c>
      <c r="D27" s="52"/>
      <c r="E27" s="9" t="s">
        <v>62</v>
      </c>
      <c r="F27" s="35">
        <f>H22-J22</f>
        <v>1.3347626252427185E-4</v>
      </c>
      <c r="G27" s="29"/>
      <c r="H27" s="35">
        <f>0.5*(E9/1000)*H9*H9/10000</f>
        <v>1.3594559999999999E-4</v>
      </c>
      <c r="I27" s="29"/>
      <c r="J27" s="37">
        <f>100*ABS(F27-H27)/H27</f>
        <v>1.8164158867430369</v>
      </c>
      <c r="K27" s="30"/>
      <c r="N27" s="51" t="s">
        <v>49</v>
      </c>
      <c r="O27" s="52"/>
      <c r="P27" s="9" t="s">
        <v>62</v>
      </c>
      <c r="Q27" s="41">
        <f>Q22-U22</f>
        <v>8.9660007554545444E-3</v>
      </c>
      <c r="R27" s="41"/>
      <c r="S27" s="41">
        <f>(P9*S9*S9)/10000000 + (P10*S10*S10)/10000000</f>
        <v>4.9469110000000009E-3</v>
      </c>
      <c r="T27" s="29"/>
      <c r="U27" s="37">
        <f>100*ABS(Q27-S27)/S27</f>
        <v>81.244432241747276</v>
      </c>
      <c r="V27" s="30"/>
    </row>
    <row r="28" spans="3:22" s="26" customFormat="1" ht="24.95" customHeight="1" thickBot="1" x14ac:dyDescent="0.3">
      <c r="C28" s="53" t="s">
        <v>38</v>
      </c>
      <c r="D28" s="54"/>
      <c r="E28" s="42" t="s">
        <v>62</v>
      </c>
      <c r="F28" s="43">
        <f>J22</f>
        <v>4.5631999999999998E-6</v>
      </c>
      <c r="G28" s="44"/>
      <c r="H28" s="43">
        <f>0.5*(E10/1000)*K10*K10/10000</f>
        <v>7.5106000000000006E-6</v>
      </c>
      <c r="I28" s="44"/>
      <c r="J28" s="45">
        <f>100*ABS(F28-H28)/H28</f>
        <v>39.243202939845027</v>
      </c>
      <c r="K28" s="46"/>
      <c r="N28" s="53" t="s">
        <v>50</v>
      </c>
      <c r="O28" s="54"/>
      <c r="P28" s="42" t="s">
        <v>62</v>
      </c>
      <c r="Q28" s="47">
        <f>S22-U22</f>
        <v>3.39353331465927E-4</v>
      </c>
      <c r="R28" s="47"/>
      <c r="S28" s="47">
        <f>(P9*V9*V9)/10000000 + (P10*V10*V10)/10000000</f>
        <v>2.6005975000000008E-4</v>
      </c>
      <c r="T28" s="44"/>
      <c r="U28" s="45">
        <f>100*ABS(Q28-S28)/S28</f>
        <v>30.490524376004707</v>
      </c>
      <c r="V28" s="46"/>
    </row>
    <row r="32" spans="3:22" x14ac:dyDescent="0.25">
      <c r="U32" s="1" t="s">
        <v>64</v>
      </c>
    </row>
  </sheetData>
  <mergeCells count="7">
    <mergeCell ref="N26:O26"/>
    <mergeCell ref="N27:O27"/>
    <mergeCell ref="N28:O28"/>
    <mergeCell ref="N25:O25"/>
    <mergeCell ref="C26:D26"/>
    <mergeCell ref="C27:D27"/>
    <mergeCell ref="C28:D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8"/>
  <sheetViews>
    <sheetView workbookViewId="0">
      <selection sqref="A1:XFD1048576"/>
    </sheetView>
  </sheetViews>
  <sheetFormatPr defaultRowHeight="16.5" x14ac:dyDescent="0.25"/>
  <cols>
    <col min="1" max="2" width="9.140625" style="1"/>
    <col min="3" max="3" width="22.5703125" style="1" customWidth="1"/>
    <col min="4" max="4" width="8" style="1" customWidth="1"/>
    <col min="5" max="5" width="7" style="1" customWidth="1"/>
    <col min="6" max="6" width="14.140625" style="1" customWidth="1"/>
    <col min="7" max="8" width="12.7109375" style="1" customWidth="1"/>
    <col min="9" max="9" width="2.85546875" style="1" customWidth="1"/>
    <col min="10" max="10" width="13" style="1" customWidth="1"/>
    <col min="11" max="11" width="9.42578125" style="1" bestFit="1" customWidth="1"/>
    <col min="12" max="12" width="3.5703125" style="1" customWidth="1"/>
    <col min="13" max="13" width="7" style="1" customWidth="1"/>
    <col min="14" max="14" width="23.28515625" style="1" customWidth="1"/>
    <col min="15" max="15" width="9.140625" style="1"/>
    <col min="16" max="16" width="7" style="1" customWidth="1"/>
    <col min="17" max="17" width="13.5703125" style="1" customWidth="1"/>
    <col min="18" max="18" width="14.85546875" style="1" customWidth="1"/>
    <col min="19" max="19" width="13" style="1" customWidth="1"/>
    <col min="20" max="20" width="4.140625" style="1" customWidth="1"/>
    <col min="21" max="21" width="11.85546875" style="1" bestFit="1" customWidth="1"/>
    <col min="22" max="22" width="9.42578125" style="1" bestFit="1" customWidth="1"/>
    <col min="23" max="23" width="5.140625" style="1" customWidth="1"/>
    <col min="24" max="16384" width="9.140625" style="1"/>
  </cols>
  <sheetData>
    <row r="2" spans="2:22" x14ac:dyDescent="0.25">
      <c r="C2" s="1" t="s">
        <v>63</v>
      </c>
    </row>
    <row r="3" spans="2:22" x14ac:dyDescent="0.25">
      <c r="B3" s="1" t="s">
        <v>52</v>
      </c>
      <c r="C3" s="1" t="s">
        <v>51</v>
      </c>
    </row>
    <row r="4" spans="2:22" x14ac:dyDescent="0.25">
      <c r="C4" s="1" t="s">
        <v>57</v>
      </c>
    </row>
    <row r="5" spans="2:22" ht="17.25" thickBot="1" x14ac:dyDescent="0.3"/>
    <row r="6" spans="2:22" x14ac:dyDescent="0.25">
      <c r="C6" s="2" t="s">
        <v>39</v>
      </c>
      <c r="D6" s="3"/>
      <c r="E6" s="3"/>
      <c r="F6" s="3"/>
      <c r="G6" s="3"/>
      <c r="H6" s="3"/>
      <c r="I6" s="3"/>
      <c r="J6" s="3"/>
      <c r="K6" s="4"/>
      <c r="N6" s="2" t="s">
        <v>40</v>
      </c>
      <c r="O6" s="3"/>
      <c r="P6" s="3"/>
      <c r="Q6" s="3"/>
      <c r="R6" s="3"/>
      <c r="S6" s="3"/>
      <c r="T6" s="3"/>
      <c r="U6" s="3"/>
      <c r="V6" s="4"/>
    </row>
    <row r="7" spans="2:22" x14ac:dyDescent="0.25">
      <c r="C7" s="5"/>
      <c r="D7" s="6"/>
      <c r="E7" s="7" t="s">
        <v>29</v>
      </c>
      <c r="F7" s="7"/>
      <c r="G7" s="7"/>
      <c r="H7" s="7" t="s">
        <v>30</v>
      </c>
      <c r="I7" s="7"/>
      <c r="J7" s="7"/>
      <c r="K7" s="8" t="s">
        <v>30</v>
      </c>
      <c r="N7" s="5"/>
      <c r="O7" s="6"/>
      <c r="P7" s="9" t="s">
        <v>29</v>
      </c>
      <c r="Q7" s="9"/>
      <c r="R7" s="9"/>
      <c r="S7" s="9" t="s">
        <v>30</v>
      </c>
      <c r="T7" s="9"/>
      <c r="U7" s="9"/>
      <c r="V7" s="10" t="s">
        <v>30</v>
      </c>
    </row>
    <row r="8" spans="2:22" x14ac:dyDescent="0.25">
      <c r="C8" s="5" t="s">
        <v>0</v>
      </c>
      <c r="D8" s="6" t="s">
        <v>2</v>
      </c>
      <c r="E8" s="11">
        <v>470.5</v>
      </c>
      <c r="F8" s="6"/>
      <c r="G8" s="6" t="s">
        <v>3</v>
      </c>
      <c r="H8" s="11">
        <v>2.669</v>
      </c>
      <c r="I8" s="6"/>
      <c r="J8" s="6" t="s">
        <v>4</v>
      </c>
      <c r="K8" s="12">
        <v>3.83</v>
      </c>
      <c r="N8" s="5" t="s">
        <v>41</v>
      </c>
      <c r="O8" s="6" t="s">
        <v>2</v>
      </c>
      <c r="P8" s="11">
        <v>27.5</v>
      </c>
      <c r="Q8" s="6"/>
      <c r="R8" s="6" t="s">
        <v>44</v>
      </c>
      <c r="S8" s="11">
        <v>38.200000000000003</v>
      </c>
      <c r="T8" s="6"/>
      <c r="U8" s="6"/>
      <c r="V8" s="13"/>
    </row>
    <row r="9" spans="2:22" x14ac:dyDescent="0.25">
      <c r="C9" s="5" t="s">
        <v>5</v>
      </c>
      <c r="D9" s="6" t="s">
        <v>2</v>
      </c>
      <c r="E9" s="11">
        <v>119.22</v>
      </c>
      <c r="F9" s="6"/>
      <c r="G9" s="6" t="s">
        <v>6</v>
      </c>
      <c r="H9" s="11">
        <v>4.7610000000000001</v>
      </c>
      <c r="I9" s="6"/>
      <c r="J9" s="6"/>
      <c r="K9" s="14"/>
      <c r="N9" s="5" t="s">
        <v>40</v>
      </c>
      <c r="O9" s="6" t="s">
        <v>43</v>
      </c>
      <c r="P9" s="11">
        <v>75.5</v>
      </c>
      <c r="Q9" s="6"/>
      <c r="R9" s="6" t="s">
        <v>45</v>
      </c>
      <c r="S9" s="11">
        <v>18.100000000000001</v>
      </c>
      <c r="T9" s="6"/>
      <c r="U9" s="6" t="s">
        <v>46</v>
      </c>
      <c r="V9" s="15">
        <v>4.1500000000000004</v>
      </c>
    </row>
    <row r="10" spans="2:22" x14ac:dyDescent="0.25">
      <c r="C10" s="5" t="s">
        <v>7</v>
      </c>
      <c r="D10" s="6" t="s">
        <v>2</v>
      </c>
      <c r="E10" s="11">
        <v>7.05</v>
      </c>
      <c r="F10" s="6"/>
      <c r="G10" s="6" t="s">
        <v>8</v>
      </c>
      <c r="H10" s="11">
        <v>1.4319999999999999</v>
      </c>
      <c r="I10" s="6"/>
      <c r="J10" s="6" t="s">
        <v>1</v>
      </c>
      <c r="K10" s="12">
        <v>4.7</v>
      </c>
      <c r="N10" s="5"/>
      <c r="O10" s="6" t="s">
        <v>42</v>
      </c>
      <c r="P10" s="11">
        <v>75.5</v>
      </c>
      <c r="Q10" s="6"/>
      <c r="R10" s="6" t="s">
        <v>45</v>
      </c>
      <c r="S10" s="11">
        <v>18.100000000000001</v>
      </c>
      <c r="T10" s="6"/>
      <c r="U10" s="6" t="s">
        <v>46</v>
      </c>
      <c r="V10" s="12">
        <v>4.1500000000000004</v>
      </c>
    </row>
    <row r="11" spans="2:22" x14ac:dyDescent="0.25">
      <c r="C11" s="16"/>
      <c r="D11" s="17"/>
      <c r="E11" s="18"/>
      <c r="F11" s="18"/>
      <c r="G11" s="18"/>
      <c r="H11" s="18"/>
      <c r="I11" s="18"/>
      <c r="J11" s="18"/>
      <c r="K11" s="19"/>
      <c r="N11" s="5" t="s">
        <v>7</v>
      </c>
      <c r="O11" s="6"/>
      <c r="P11" s="20"/>
      <c r="Q11" s="6"/>
      <c r="R11" s="6" t="s">
        <v>8</v>
      </c>
      <c r="S11" s="11">
        <v>2.71</v>
      </c>
      <c r="T11" s="17"/>
      <c r="U11" s="17"/>
      <c r="V11" s="19"/>
    </row>
    <row r="12" spans="2:22" x14ac:dyDescent="0.25">
      <c r="C12" s="16"/>
      <c r="D12" s="17"/>
      <c r="E12" s="17"/>
      <c r="F12" s="17"/>
      <c r="G12" s="17"/>
      <c r="H12" s="17"/>
      <c r="I12" s="17"/>
      <c r="J12" s="17"/>
      <c r="K12" s="21"/>
      <c r="N12" s="16"/>
      <c r="O12" s="17"/>
      <c r="P12" s="17"/>
      <c r="Q12" s="17"/>
      <c r="R12" s="17"/>
      <c r="S12" s="17"/>
      <c r="T12" s="17"/>
      <c r="U12" s="17"/>
      <c r="V12" s="21"/>
    </row>
    <row r="13" spans="2:22" s="22" customFormat="1" x14ac:dyDescent="0.25">
      <c r="C13" s="23"/>
      <c r="D13" s="9"/>
      <c r="E13" s="9"/>
      <c r="F13" s="9" t="s">
        <v>25</v>
      </c>
      <c r="G13" s="9"/>
      <c r="H13" s="9" t="s">
        <v>26</v>
      </c>
      <c r="I13" s="9"/>
      <c r="J13" s="9" t="s">
        <v>27</v>
      </c>
      <c r="K13" s="24"/>
      <c r="N13" s="23"/>
      <c r="O13" s="9"/>
      <c r="P13" s="9"/>
      <c r="Q13" s="9" t="s">
        <v>25</v>
      </c>
      <c r="R13" s="9"/>
      <c r="S13" s="9" t="s">
        <v>26</v>
      </c>
      <c r="T13" s="9"/>
      <c r="U13" s="9" t="s">
        <v>27</v>
      </c>
      <c r="V13" s="24"/>
    </row>
    <row r="14" spans="2:22" ht="49.5" x14ac:dyDescent="0.25">
      <c r="C14" s="5"/>
      <c r="D14" s="6"/>
      <c r="E14" s="6"/>
      <c r="F14" s="25" t="s">
        <v>54</v>
      </c>
      <c r="G14" s="9"/>
      <c r="H14" s="25" t="s">
        <v>53</v>
      </c>
      <c r="I14" s="9"/>
      <c r="J14" s="25" t="s">
        <v>28</v>
      </c>
      <c r="K14" s="21"/>
      <c r="N14" s="5"/>
      <c r="O14" s="6"/>
      <c r="P14" s="6"/>
      <c r="Q14" s="25" t="s">
        <v>55</v>
      </c>
      <c r="R14" s="9"/>
      <c r="S14" s="25" t="s">
        <v>56</v>
      </c>
      <c r="T14" s="9"/>
      <c r="U14" s="25" t="s">
        <v>47</v>
      </c>
      <c r="V14" s="21"/>
    </row>
    <row r="15" spans="2:22" s="26" customFormat="1" ht="24.95" customHeight="1" x14ac:dyDescent="0.25">
      <c r="C15" s="27" t="s">
        <v>9</v>
      </c>
      <c r="D15" s="9" t="s">
        <v>58</v>
      </c>
      <c r="E15" s="9" t="s">
        <v>21</v>
      </c>
      <c r="F15" s="28">
        <v>55</v>
      </c>
      <c r="G15" s="29"/>
      <c r="H15" s="28">
        <v>15</v>
      </c>
      <c r="I15" s="29"/>
      <c r="J15" s="28">
        <v>1</v>
      </c>
      <c r="K15" s="30"/>
      <c r="N15" s="27" t="s">
        <v>9</v>
      </c>
      <c r="O15" s="9" t="s">
        <v>58</v>
      </c>
      <c r="P15" s="9" t="s">
        <v>21</v>
      </c>
      <c r="Q15" s="28">
        <v>25</v>
      </c>
      <c r="R15" s="29"/>
      <c r="S15" s="28">
        <v>25</v>
      </c>
      <c r="T15" s="29"/>
      <c r="U15" s="28">
        <v>5</v>
      </c>
      <c r="V15" s="30"/>
    </row>
    <row r="16" spans="2:22" s="26" customFormat="1" ht="24.95" customHeight="1" x14ac:dyDescent="0.25">
      <c r="C16" s="27" t="s">
        <v>10</v>
      </c>
      <c r="D16" s="9" t="s">
        <v>16</v>
      </c>
      <c r="E16" s="9" t="s">
        <v>59</v>
      </c>
      <c r="F16" s="28">
        <v>11.5</v>
      </c>
      <c r="G16" s="29"/>
      <c r="H16" s="28">
        <v>14.3</v>
      </c>
      <c r="I16" s="29"/>
      <c r="J16" s="28">
        <v>27.5</v>
      </c>
      <c r="K16" s="30"/>
      <c r="N16" s="27" t="s">
        <v>10</v>
      </c>
      <c r="O16" s="9" t="s">
        <v>16</v>
      </c>
      <c r="P16" s="9" t="s">
        <v>59</v>
      </c>
      <c r="Q16" s="28">
        <v>0.66</v>
      </c>
      <c r="R16" s="29"/>
      <c r="S16" s="28">
        <v>6.31</v>
      </c>
      <c r="T16" s="29"/>
      <c r="U16" s="28">
        <v>1.96</v>
      </c>
      <c r="V16" s="30"/>
    </row>
    <row r="17" spans="3:22" s="26" customFormat="1" ht="24.95" customHeight="1" x14ac:dyDescent="0.25">
      <c r="C17" s="27" t="s">
        <v>11</v>
      </c>
      <c r="D17" s="9" t="s">
        <v>17</v>
      </c>
      <c r="E17" s="9" t="s">
        <v>60</v>
      </c>
      <c r="F17" s="31">
        <f>($H$10/100)*F16</f>
        <v>0.16467999999999999</v>
      </c>
      <c r="G17" s="29"/>
      <c r="H17" s="31">
        <f>($H$10/100)*H16</f>
        <v>0.20477600000000001</v>
      </c>
      <c r="I17" s="29"/>
      <c r="J17" s="32">
        <f>($H$10/100)*J16</f>
        <v>0.39379999999999998</v>
      </c>
      <c r="K17" s="30"/>
      <c r="N17" s="27" t="s">
        <v>11</v>
      </c>
      <c r="O17" s="9" t="s">
        <v>17</v>
      </c>
      <c r="P17" s="9" t="s">
        <v>60</v>
      </c>
      <c r="Q17" s="33">
        <f>($S$11/100)*Q16</f>
        <v>1.7885999999999999E-2</v>
      </c>
      <c r="R17" s="29"/>
      <c r="S17" s="34">
        <f>($S$11/100)*S16</f>
        <v>0.17100099999999999</v>
      </c>
      <c r="T17" s="29"/>
      <c r="U17" s="34">
        <f>($S$11/100)*U16</f>
        <v>5.3115999999999997E-2</v>
      </c>
      <c r="V17" s="30"/>
    </row>
    <row r="18" spans="3:22" s="26" customFormat="1" ht="24.95" customHeight="1" x14ac:dyDescent="0.25">
      <c r="C18" s="27" t="s">
        <v>12</v>
      </c>
      <c r="D18" s="9" t="s">
        <v>61</v>
      </c>
      <c r="E18" s="9" t="s">
        <v>22</v>
      </c>
      <c r="F18" s="28">
        <v>0.5</v>
      </c>
      <c r="G18" s="29"/>
      <c r="H18" s="28">
        <v>0.25</v>
      </c>
      <c r="I18" s="29"/>
      <c r="J18" s="28">
        <v>0</v>
      </c>
      <c r="K18" s="30"/>
      <c r="N18" s="27" t="s">
        <v>12</v>
      </c>
      <c r="O18" s="9" t="s">
        <v>61</v>
      </c>
      <c r="P18" s="9" t="s">
        <v>22</v>
      </c>
      <c r="Q18" s="28">
        <v>1</v>
      </c>
      <c r="R18" s="29"/>
      <c r="S18" s="28">
        <v>0.5</v>
      </c>
      <c r="T18" s="29"/>
      <c r="U18" s="28">
        <v>0</v>
      </c>
      <c r="V18" s="30"/>
    </row>
    <row r="19" spans="3:22" s="26" customFormat="1" ht="24.95" customHeight="1" x14ac:dyDescent="0.25">
      <c r="C19" s="27" t="s">
        <v>13</v>
      </c>
      <c r="D19" s="9" t="s">
        <v>18</v>
      </c>
      <c r="E19" s="9" t="s">
        <v>22</v>
      </c>
      <c r="F19" s="32">
        <f>F15-F18</f>
        <v>54.5</v>
      </c>
      <c r="G19" s="29"/>
      <c r="H19" s="32">
        <f>H15-H18</f>
        <v>14.75</v>
      </c>
      <c r="I19" s="29"/>
      <c r="J19" s="32">
        <f>J15-J18</f>
        <v>1</v>
      </c>
      <c r="K19" s="30"/>
      <c r="N19" s="27" t="s">
        <v>13</v>
      </c>
      <c r="O19" s="9" t="s">
        <v>18</v>
      </c>
      <c r="P19" s="9" t="s">
        <v>22</v>
      </c>
      <c r="Q19" s="32">
        <f>Q15-Q18</f>
        <v>24</v>
      </c>
      <c r="R19" s="29"/>
      <c r="S19" s="32">
        <f>S15-S18</f>
        <v>24.5</v>
      </c>
      <c r="T19" s="29"/>
      <c r="U19" s="32">
        <f>U15-U18</f>
        <v>5</v>
      </c>
      <c r="V19" s="30"/>
    </row>
    <row r="20" spans="3:22" s="26" customFormat="1" ht="24.95" customHeight="1" x14ac:dyDescent="0.25">
      <c r="C20" s="27" t="s">
        <v>14</v>
      </c>
      <c r="D20" s="9" t="s">
        <v>19</v>
      </c>
      <c r="E20" s="9" t="s">
        <v>23</v>
      </c>
      <c r="F20" s="35">
        <f>(F19/1000)*(9.8-F17)</f>
        <v>0.52512493999999998</v>
      </c>
      <c r="G20" s="29"/>
      <c r="H20" s="35">
        <f>(H19/1000)*(9.8-H17)</f>
        <v>0.141529554</v>
      </c>
      <c r="I20" s="29"/>
      <c r="J20" s="35">
        <f>(J19/1000)*(9.8-J17)</f>
        <v>9.4062E-3</v>
      </c>
      <c r="K20" s="30"/>
      <c r="N20" s="27" t="s">
        <v>14</v>
      </c>
      <c r="O20" s="9" t="s">
        <v>19</v>
      </c>
      <c r="P20" s="9" t="s">
        <v>23</v>
      </c>
      <c r="Q20" s="35">
        <f>(Q19/1000)*(9.8-Q17)</f>
        <v>0.23477073600000001</v>
      </c>
      <c r="R20" s="29"/>
      <c r="S20" s="35">
        <f>(S19/1000)*(9.8-S17)</f>
        <v>0.23591047550000002</v>
      </c>
      <c r="T20" s="29"/>
      <c r="U20" s="35">
        <f>(U19/1000)*(9.8-U17)</f>
        <v>4.8734420000000007E-2</v>
      </c>
      <c r="V20" s="30"/>
    </row>
    <row r="21" spans="3:22" s="26" customFormat="1" ht="24.95" customHeight="1" x14ac:dyDescent="0.25">
      <c r="C21" s="27" t="s">
        <v>15</v>
      </c>
      <c r="D21" s="9" t="s">
        <v>20</v>
      </c>
      <c r="E21" s="9" t="s">
        <v>24</v>
      </c>
      <c r="F21" s="35">
        <f>($H$10/100)*F20</f>
        <v>7.5197891407999991E-3</v>
      </c>
      <c r="G21" s="29"/>
      <c r="H21" s="35">
        <f>($H$10/100)*H20</f>
        <v>2.0267032132799999E-3</v>
      </c>
      <c r="I21" s="29"/>
      <c r="J21" s="35">
        <f>($H$10/100)*J20</f>
        <v>1.34696784E-4</v>
      </c>
      <c r="K21" s="30"/>
      <c r="N21" s="27" t="s">
        <v>15</v>
      </c>
      <c r="O21" s="9" t="s">
        <v>20</v>
      </c>
      <c r="P21" s="9" t="s">
        <v>24</v>
      </c>
      <c r="Q21" s="35">
        <f>($S$11/100)*Q20</f>
        <v>6.3622869456000002E-3</v>
      </c>
      <c r="R21" s="29"/>
      <c r="S21" s="35">
        <f>($S$11/100)*S20</f>
        <v>6.3931738860500001E-3</v>
      </c>
      <c r="T21" s="29"/>
      <c r="U21" s="35">
        <f>($S$11/100)*U20</f>
        <v>1.3207027820000001E-3</v>
      </c>
      <c r="V21" s="30"/>
    </row>
    <row r="22" spans="3:22" s="26" customFormat="1" ht="24.95" customHeight="1" x14ac:dyDescent="0.25">
      <c r="C22" s="27" t="s">
        <v>32</v>
      </c>
      <c r="D22" s="9" t="s">
        <v>31</v>
      </c>
      <c r="E22" s="9" t="s">
        <v>62</v>
      </c>
      <c r="F22" s="35">
        <f>F21/F16</f>
        <v>6.5389470789565206E-4</v>
      </c>
      <c r="G22" s="29"/>
      <c r="H22" s="35">
        <f>H21/H16</f>
        <v>1.4172749743216782E-4</v>
      </c>
      <c r="I22" s="29"/>
      <c r="J22" s="35">
        <f>J21/J16</f>
        <v>4.8980648727272729E-6</v>
      </c>
      <c r="K22" s="30"/>
      <c r="N22" s="27" t="s">
        <v>32</v>
      </c>
      <c r="O22" s="9" t="s">
        <v>31</v>
      </c>
      <c r="P22" s="9" t="s">
        <v>62</v>
      </c>
      <c r="Q22" s="35">
        <f>Q21/Q16</f>
        <v>9.6398287054545451E-3</v>
      </c>
      <c r="R22" s="29"/>
      <c r="S22" s="35">
        <f>S21/S16</f>
        <v>1.0131812814659271E-3</v>
      </c>
      <c r="T22" s="29"/>
      <c r="U22" s="35">
        <f>U21/U16</f>
        <v>6.7382795000000011E-4</v>
      </c>
      <c r="V22" s="30"/>
    </row>
    <row r="23" spans="3:22" x14ac:dyDescent="0.25">
      <c r="C23" s="16"/>
      <c r="D23" s="36"/>
      <c r="E23" s="36"/>
      <c r="F23" s="17"/>
      <c r="G23" s="17"/>
      <c r="H23" s="17"/>
      <c r="I23" s="17"/>
      <c r="J23" s="17"/>
      <c r="K23" s="21"/>
      <c r="N23" s="16"/>
      <c r="O23" s="36"/>
      <c r="P23" s="36"/>
      <c r="Q23" s="17"/>
      <c r="R23" s="17"/>
      <c r="S23" s="17"/>
      <c r="T23" s="17"/>
      <c r="U23" s="17"/>
      <c r="V23" s="21"/>
    </row>
    <row r="24" spans="3:22" x14ac:dyDescent="0.25">
      <c r="C24" s="16"/>
      <c r="D24" s="36"/>
      <c r="E24" s="36"/>
      <c r="F24" s="17"/>
      <c r="G24" s="17"/>
      <c r="H24" s="17"/>
      <c r="I24" s="17"/>
      <c r="J24" s="17"/>
      <c r="K24" s="21"/>
      <c r="N24" s="16"/>
      <c r="O24" s="36"/>
      <c r="P24" s="36"/>
      <c r="Q24" s="17"/>
      <c r="R24" s="17"/>
      <c r="S24" s="17"/>
      <c r="T24" s="17"/>
      <c r="U24" s="17"/>
      <c r="V24" s="21"/>
    </row>
    <row r="25" spans="3:22" x14ac:dyDescent="0.25">
      <c r="C25" s="5"/>
      <c r="D25" s="7"/>
      <c r="E25" s="7"/>
      <c r="F25" s="9" t="s">
        <v>33</v>
      </c>
      <c r="G25" s="9"/>
      <c r="H25" s="9" t="s">
        <v>34</v>
      </c>
      <c r="I25" s="9"/>
      <c r="J25" s="9" t="s">
        <v>35</v>
      </c>
      <c r="K25" s="21"/>
      <c r="N25" s="55"/>
      <c r="O25" s="56"/>
      <c r="P25" s="7"/>
      <c r="Q25" s="9" t="s">
        <v>33</v>
      </c>
      <c r="R25" s="9"/>
      <c r="S25" s="9" t="s">
        <v>34</v>
      </c>
      <c r="T25" s="9"/>
      <c r="U25" s="9" t="s">
        <v>35</v>
      </c>
      <c r="V25" s="21"/>
    </row>
    <row r="26" spans="3:22" s="26" customFormat="1" ht="24.95" customHeight="1" x14ac:dyDescent="0.25">
      <c r="C26" s="51" t="s">
        <v>36</v>
      </c>
      <c r="D26" s="52"/>
      <c r="E26" s="9" t="s">
        <v>62</v>
      </c>
      <c r="F26" s="35">
        <f>F22-H22</f>
        <v>5.1216721046348421E-4</v>
      </c>
      <c r="G26" s="29"/>
      <c r="H26" s="35">
        <f>0.5*($E$8/1000)*(H8*H8+K8*K8)/10000</f>
        <v>5.1266764502500006E-4</v>
      </c>
      <c r="I26" s="29"/>
      <c r="J26" s="37">
        <f>100*ABS(F26-H26)/H26</f>
        <v>9.7613837419260094E-2</v>
      </c>
      <c r="K26" s="30"/>
      <c r="N26" s="49" t="s">
        <v>48</v>
      </c>
      <c r="O26" s="50"/>
      <c r="P26" s="38" t="s">
        <v>62</v>
      </c>
      <c r="Q26" s="39">
        <f>U22</f>
        <v>6.7382795000000011E-4</v>
      </c>
      <c r="R26" s="39"/>
      <c r="S26" s="39">
        <f>(1/12)*(P8/1000)*S8*S8/10000</f>
        <v>3.3440916666666672E-4</v>
      </c>
      <c r="T26" s="40"/>
      <c r="U26" s="37">
        <f>100*ABS(Q26-S26)/S26</f>
        <v>101.49805004348467</v>
      </c>
      <c r="V26" s="30"/>
    </row>
    <row r="27" spans="3:22" s="26" customFormat="1" ht="24.95" customHeight="1" x14ac:dyDescent="0.25">
      <c r="C27" s="51" t="s">
        <v>37</v>
      </c>
      <c r="D27" s="52"/>
      <c r="E27" s="9" t="s">
        <v>62</v>
      </c>
      <c r="F27" s="35">
        <f>H22-J22</f>
        <v>1.3682943255944056E-4</v>
      </c>
      <c r="G27" s="29"/>
      <c r="H27" s="35">
        <f>0.5*(E9/1000)*H9*H9/10000</f>
        <v>1.35118708281E-4</v>
      </c>
      <c r="I27" s="29"/>
      <c r="J27" s="37">
        <f>100*ABS(F27-H27)/H27</f>
        <v>1.2660898703108161</v>
      </c>
      <c r="K27" s="30"/>
      <c r="N27" s="51" t="s">
        <v>49</v>
      </c>
      <c r="O27" s="52"/>
      <c r="P27" s="9" t="s">
        <v>62</v>
      </c>
      <c r="Q27" s="41">
        <f>Q22-U22</f>
        <v>8.9660007554545444E-3</v>
      </c>
      <c r="R27" s="41"/>
      <c r="S27" s="41">
        <f>(P9*S9*S9)/10000000 + (P10*S10*S10)/10000000</f>
        <v>4.9469110000000009E-3</v>
      </c>
      <c r="T27" s="29"/>
      <c r="U27" s="37">
        <f>100*ABS(Q27-S27)/S27</f>
        <v>81.244432241747276</v>
      </c>
      <c r="V27" s="30"/>
    </row>
    <row r="28" spans="3:22" s="26" customFormat="1" ht="24.95" customHeight="1" thickBot="1" x14ac:dyDescent="0.3">
      <c r="C28" s="53" t="s">
        <v>38</v>
      </c>
      <c r="D28" s="54"/>
      <c r="E28" s="42" t="s">
        <v>62</v>
      </c>
      <c r="F28" s="43">
        <f>J22</f>
        <v>4.8980648727272729E-6</v>
      </c>
      <c r="G28" s="44"/>
      <c r="H28" s="43">
        <f>0.5*(E10/1000)*K10*K10/10000</f>
        <v>7.7867249999999995E-6</v>
      </c>
      <c r="I28" s="44"/>
      <c r="J28" s="45">
        <f>100*ABS(F28-H28)/H28</f>
        <v>37.097240846090322</v>
      </c>
      <c r="K28" s="46"/>
      <c r="N28" s="53" t="s">
        <v>50</v>
      </c>
      <c r="O28" s="54"/>
      <c r="P28" s="42" t="s">
        <v>62</v>
      </c>
      <c r="Q28" s="47">
        <f>S22-U22</f>
        <v>3.39353331465927E-4</v>
      </c>
      <c r="R28" s="47"/>
      <c r="S28" s="47">
        <f>(P9*V9*V9)/10000000 + (P10*V10*V10)/10000000</f>
        <v>2.6005975000000008E-4</v>
      </c>
      <c r="T28" s="44"/>
      <c r="U28" s="45">
        <f>100*ABS(Q28-S28)/S28</f>
        <v>30.490524376004707</v>
      </c>
      <c r="V28" s="46"/>
    </row>
  </sheetData>
  <mergeCells count="7">
    <mergeCell ref="C28:D28"/>
    <mergeCell ref="N28:O28"/>
    <mergeCell ref="N25:O25"/>
    <mergeCell ref="C26:D26"/>
    <mergeCell ref="N26:O26"/>
    <mergeCell ref="C27:D27"/>
    <mergeCell ref="N27:O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A41D7A8C864D4E81545909DC607FBF" ma:contentTypeVersion="10" ma:contentTypeDescription="Create a new document." ma:contentTypeScope="" ma:versionID="bd315db68e0b59e50345d11769b6f11e">
  <xsd:schema xmlns:xsd="http://www.w3.org/2001/XMLSchema" xmlns:xs="http://www.w3.org/2001/XMLSchema" xmlns:p="http://schemas.microsoft.com/office/2006/metadata/properties" xmlns:ns3="e5eb4d61-97ad-43cc-9ebf-51487066a2a0" targetNamespace="http://schemas.microsoft.com/office/2006/metadata/properties" ma:root="true" ma:fieldsID="67dae71d6e76b89aa53ecf079b84a029" ns3:_="">
    <xsd:import namespace="e5eb4d61-97ad-43cc-9ebf-51487066a2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b4d61-97ad-43cc-9ebf-51487066a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1E55DF-2876-45C6-8E79-8C219D928E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eb4d61-97ad-43cc-9ebf-51487066a2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7EA995-3F57-43CE-87A5-CB01280F49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A7E204-A8D4-4E0E-AD84-466EFE2AFD46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e5eb4d61-97ad-43cc-9ebf-51487066a2a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bukhari</dc:creator>
  <cp:lastModifiedBy>khalid.bukhari</cp:lastModifiedBy>
  <dcterms:created xsi:type="dcterms:W3CDTF">2019-03-24T15:48:25Z</dcterms:created>
  <dcterms:modified xsi:type="dcterms:W3CDTF">2019-11-04T21:56:45Z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0x01010094A41D7A8C864D4E81545909DC607FBF</vt:lpwstr>
  </property>
</Properties>
</file>