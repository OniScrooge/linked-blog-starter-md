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C:\Users\khalid.bukhari\OneDrive - Houston Community College\LAB REVISION\MANUALS 2125\LAB-1-IN-CLASS\final version-excel files\"/>
    </mc:Choice>
  </mc:AlternateContent>
  <xr:revisionPtr revIDLastSave="10" documentId="11_3D8201EA345D8208F793520E3D7F7CF246662FD1" xr6:coauthVersionLast="36" xr6:coauthVersionMax="36" xr10:uidLastSave="{6CA0A944-8B3F-4C31-9D9A-292E4F71C5A2}"/>
  <bookViews>
    <workbookView xWindow="6270" yWindow="2160" windowWidth="11145" windowHeight="6810" xr2:uid="{00000000-000D-0000-FFFF-FFFF00000000}"/>
  </bookViews>
  <sheets>
    <sheet name="angula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H18" i="2"/>
  <c r="I18" i="2"/>
  <c r="G18" i="2"/>
  <c r="J6" i="2" l="1"/>
  <c r="H25" i="2" l="1"/>
  <c r="I25" i="2"/>
  <c r="H21" i="2"/>
  <c r="I21" i="2"/>
  <c r="G25" i="2"/>
  <c r="G21" i="2"/>
  <c r="G19" i="2" l="1"/>
  <c r="G20" i="2" s="1"/>
  <c r="I19" i="2"/>
  <c r="I20" i="2" s="1"/>
  <c r="H19" i="2"/>
  <c r="H20" i="2" s="1"/>
  <c r="H22" i="2" l="1"/>
  <c r="H23" i="2" s="1"/>
  <c r="H26" i="2"/>
  <c r="H27" i="2" s="1"/>
  <c r="I22" i="2"/>
  <c r="I23" i="2" s="1"/>
  <c r="I26" i="2"/>
  <c r="I27" i="2" s="1"/>
  <c r="G22" i="2"/>
  <c r="G23" i="2" s="1"/>
  <c r="G26" i="2"/>
  <c r="G27" i="2" s="1"/>
</calcChain>
</file>

<file path=xl/sharedStrings.xml><?xml version="1.0" encoding="utf-8"?>
<sst xmlns="http://schemas.openxmlformats.org/spreadsheetml/2006/main" count="56" uniqueCount="44">
  <si>
    <t>CONSERVATION OF ANGULAR MOMENTUM USING ROTARY MOTION SENSOR</t>
  </si>
  <si>
    <t xml:space="preserve">DISC: </t>
  </si>
  <si>
    <t>RING:</t>
  </si>
  <si>
    <t>Run 1</t>
  </si>
  <si>
    <t>Run 2</t>
  </si>
  <si>
    <t>Run 3</t>
  </si>
  <si>
    <t>Angular speed just before dropping Ring</t>
  </si>
  <si>
    <r>
      <t>ω</t>
    </r>
    <r>
      <rPr>
        <vertAlign val="subscript"/>
        <sz val="12"/>
        <color theme="1"/>
        <rFont val="Times New Roman"/>
        <family val="1"/>
      </rPr>
      <t>i</t>
    </r>
  </si>
  <si>
    <t>Angular speed just after dropping Ring</t>
  </si>
  <si>
    <r>
      <t>ω</t>
    </r>
    <r>
      <rPr>
        <vertAlign val="subscript"/>
        <sz val="12"/>
        <color theme="1"/>
        <rFont val="Times New Roman"/>
        <family val="1"/>
      </rPr>
      <t>f</t>
    </r>
  </si>
  <si>
    <t>Minimum distance from Ring to edge of disc</t>
  </si>
  <si>
    <r>
      <t>X</t>
    </r>
    <r>
      <rPr>
        <vertAlign val="subscript"/>
        <sz val="12"/>
        <color theme="1"/>
        <rFont val="Times New Roman"/>
        <family val="1"/>
      </rPr>
      <t>1</t>
    </r>
  </si>
  <si>
    <t>Maximum distance from ring to edge of disc</t>
  </si>
  <si>
    <r>
      <t>X</t>
    </r>
    <r>
      <rPr>
        <vertAlign val="subscript"/>
        <sz val="12"/>
        <color theme="1"/>
        <rFont val="Times New Roman"/>
        <family val="1"/>
      </rPr>
      <t>2</t>
    </r>
  </si>
  <si>
    <t>Ring Offset</t>
  </si>
  <si>
    <t>D</t>
  </si>
  <si>
    <t>Moment of inertia of the offset ring</t>
  </si>
  <si>
    <r>
      <t>I</t>
    </r>
    <r>
      <rPr>
        <vertAlign val="subscript"/>
        <sz val="12"/>
        <color theme="1"/>
        <rFont val="Times New Roman"/>
        <family val="1"/>
      </rPr>
      <t>r</t>
    </r>
  </si>
  <si>
    <t>Final Moment of Inertia</t>
  </si>
  <si>
    <r>
      <t>I</t>
    </r>
    <r>
      <rPr>
        <vertAlign val="subscript"/>
        <sz val="12"/>
        <color theme="1"/>
        <rFont val="Times New Roman"/>
        <family val="1"/>
      </rPr>
      <t>f</t>
    </r>
  </si>
  <si>
    <t>Angular Momentum before dropping ring</t>
  </si>
  <si>
    <r>
      <t>I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ω</t>
    </r>
    <r>
      <rPr>
        <vertAlign val="subscript"/>
        <sz val="12"/>
        <color theme="1"/>
        <rFont val="Times New Roman"/>
        <family val="1"/>
      </rPr>
      <t>i</t>
    </r>
  </si>
  <si>
    <t>Angular Momentum after dropping ring</t>
  </si>
  <si>
    <r>
      <t>I</t>
    </r>
    <r>
      <rPr>
        <vertAlign val="subscript"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 xml:space="preserve"> ω</t>
    </r>
    <r>
      <rPr>
        <vertAlign val="subscript"/>
        <sz val="12"/>
        <color theme="1"/>
        <rFont val="Times New Roman"/>
        <family val="1"/>
      </rPr>
      <t>f</t>
    </r>
  </si>
  <si>
    <t>Percent error in loss or gain of angular momentum</t>
  </si>
  <si>
    <t>Kinetic Energy before dropping Ring</t>
  </si>
  <si>
    <t>Kinetic Energy After dropping ring</t>
  </si>
  <si>
    <t>Percent loss or gain in kinetic Energy</t>
  </si>
  <si>
    <r>
      <t xml:space="preserve">Mass </t>
    </r>
    <r>
      <rPr>
        <sz val="12"/>
        <color theme="1"/>
        <rFont val="Times New Roman"/>
        <family val="1"/>
      </rPr>
      <t>M</t>
    </r>
    <r>
      <rPr>
        <vertAlign val="subscript"/>
        <sz val="12"/>
        <color theme="1"/>
        <rFont val="Times New Roman"/>
        <family val="1"/>
      </rPr>
      <t>R</t>
    </r>
    <r>
      <rPr>
        <sz val="10"/>
        <color theme="1"/>
        <rFont val="Century Gothic"/>
        <family val="2"/>
      </rPr>
      <t xml:space="preserve"> =</t>
    </r>
  </si>
  <si>
    <r>
      <t xml:space="preserve">Mass </t>
    </r>
    <r>
      <rPr>
        <sz val="12"/>
        <color theme="1"/>
        <rFont val="Times New Roman"/>
        <family val="1"/>
      </rPr>
      <t>M</t>
    </r>
    <r>
      <rPr>
        <vertAlign val="subscript"/>
        <sz val="12"/>
        <color theme="1"/>
        <rFont val="Times New Roman"/>
        <family val="1"/>
      </rPr>
      <t xml:space="preserve">d </t>
    </r>
    <r>
      <rPr>
        <sz val="12"/>
        <color theme="1"/>
        <rFont val="Times New Roman"/>
        <family val="1"/>
      </rPr>
      <t>=</t>
    </r>
  </si>
  <si>
    <t>R1 =</t>
  </si>
  <si>
    <t>R2 =</t>
  </si>
  <si>
    <r>
      <t>I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(eq. 2) =</t>
    </r>
  </si>
  <si>
    <r>
      <t>Radius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=</t>
    </r>
  </si>
  <si>
    <t>E15-B</t>
  </si>
  <si>
    <t>g</t>
  </si>
  <si>
    <t>cm</t>
  </si>
  <si>
    <r>
      <t>kg.m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</si>
  <si>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I-ring about axis (eqn. 3)   </t>
    </r>
    <r>
      <rPr>
        <sz val="12"/>
        <color theme="1"/>
        <rFont val="Times New Roman"/>
        <family val="1"/>
      </rPr>
      <t>I</t>
    </r>
    <r>
      <rPr>
        <vertAlign val="subscript"/>
        <sz val="12"/>
        <color theme="1"/>
        <rFont val="Times New Roman"/>
        <family val="1"/>
      </rPr>
      <t>rcm</t>
    </r>
    <r>
      <rPr>
        <sz val="10"/>
        <color theme="1"/>
        <rFont val="Century Gothic"/>
        <family val="2"/>
      </rPr>
      <t xml:space="preserve"> =</t>
    </r>
  </si>
  <si>
    <t>rad/s</t>
  </si>
  <si>
    <r>
      <t>kg.m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</t>
    </r>
  </si>
  <si>
    <t>J</t>
  </si>
  <si>
    <t>dylan</t>
  </si>
  <si>
    <t>mirha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</si>
</sst>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8"/>
      <color theme="1"/>
      <name val="Century Gothic"/>
      <family val="2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P31"/>
  <sheetViews>
    <sheetView tabSelected="1" topLeftCell="D8" zoomScale="93" zoomScaleNormal="93" workbookViewId="0">
      <selection activeCell="K30" sqref="K30"/>
    </sheetView>
  </sheetViews>
  <sheetFormatPr defaultRowHeight="15" x14ac:dyDescent="0.25"/>
  <cols>
    <col min="5" max="5" width="29.7109375" customWidth="1"/>
    <col min="7" max="9" width="11.140625" customWidth="1"/>
    <col min="10" max="10" width="10" style="13" bestFit="1" customWidth="1"/>
  </cols>
  <sheetData>
    <row r="3" spans="4:16" x14ac:dyDescent="0.25">
      <c r="D3" s="10" t="s">
        <v>34</v>
      </c>
      <c r="E3" s="21" t="s">
        <v>0</v>
      </c>
      <c r="F3" s="22"/>
      <c r="G3" s="22"/>
      <c r="H3" s="22"/>
      <c r="I3" s="23"/>
    </row>
    <row r="5" spans="4:16" ht="17.25" x14ac:dyDescent="0.25">
      <c r="E5" s="1" t="s">
        <v>1</v>
      </c>
      <c r="F5" s="11" t="s">
        <v>35</v>
      </c>
      <c r="H5" s="13" t="s">
        <v>36</v>
      </c>
      <c r="J5" s="13" t="s">
        <v>37</v>
      </c>
    </row>
    <row r="6" spans="4:16" ht="18.75" x14ac:dyDescent="0.35">
      <c r="E6" s="9" t="s">
        <v>29</v>
      </c>
      <c r="F6" s="12">
        <v>120.16</v>
      </c>
      <c r="G6" s="10" t="s">
        <v>33</v>
      </c>
      <c r="H6" s="14">
        <v>4.6619999999999999</v>
      </c>
      <c r="I6" s="10" t="s">
        <v>32</v>
      </c>
      <c r="J6" s="13">
        <f>0.5*F6*H6*H6/10000000</f>
        <v>1.3057933795199999E-4</v>
      </c>
      <c r="O6" s="1"/>
      <c r="P6" s="1"/>
    </row>
    <row r="7" spans="4:16" x14ac:dyDescent="0.25">
      <c r="E7" s="1"/>
      <c r="F7" s="11"/>
      <c r="H7" s="13"/>
    </row>
    <row r="8" spans="4:16" x14ac:dyDescent="0.25">
      <c r="E8" s="1" t="s">
        <v>2</v>
      </c>
      <c r="F8" s="11" t="s">
        <v>35</v>
      </c>
      <c r="H8" s="13" t="s">
        <v>36</v>
      </c>
      <c r="J8" s="13" t="s">
        <v>36</v>
      </c>
    </row>
    <row r="9" spans="4:16" ht="18.75" x14ac:dyDescent="0.25">
      <c r="E9" s="9" t="s">
        <v>28</v>
      </c>
      <c r="F9" s="12">
        <v>468.6</v>
      </c>
      <c r="G9" s="10" t="s">
        <v>30</v>
      </c>
      <c r="H9" s="14">
        <v>2.58</v>
      </c>
      <c r="I9" s="10" t="s">
        <v>31</v>
      </c>
      <c r="J9" s="14">
        <v>3.67</v>
      </c>
      <c r="O9" s="1"/>
      <c r="P9" s="1"/>
    </row>
    <row r="10" spans="4:16" ht="18.75" x14ac:dyDescent="0.25">
      <c r="E10" s="9" t="s">
        <v>38</v>
      </c>
      <c r="F10" s="18">
        <f>0.5*F9*(H9*H9 + J9*J9)/10000000</f>
        <v>4.7153577900000001E-4</v>
      </c>
      <c r="H10" s="13"/>
    </row>
    <row r="11" spans="4:16" ht="17.25" x14ac:dyDescent="0.25">
      <c r="F11" s="13" t="s">
        <v>37</v>
      </c>
      <c r="N11" s="1"/>
    </row>
    <row r="12" spans="4:16" x14ac:dyDescent="0.25">
      <c r="E12" s="1"/>
    </row>
    <row r="13" spans="4:16" s="2" customFormat="1" x14ac:dyDescent="0.25">
      <c r="E13" s="4"/>
      <c r="F13" s="5"/>
      <c r="G13" s="5" t="s">
        <v>3</v>
      </c>
      <c r="H13" s="5" t="s">
        <v>4</v>
      </c>
      <c r="I13" s="5" t="s">
        <v>5</v>
      </c>
      <c r="J13" s="19"/>
    </row>
    <row r="14" spans="4:16" s="2" customFormat="1" ht="30" customHeight="1" x14ac:dyDescent="0.25">
      <c r="E14" s="4" t="s">
        <v>6</v>
      </c>
      <c r="F14" s="6" t="s">
        <v>7</v>
      </c>
      <c r="G14" s="15">
        <v>40.4</v>
      </c>
      <c r="H14" s="15">
        <v>33.299999999999997</v>
      </c>
      <c r="I14" s="15">
        <v>23.614000000000001</v>
      </c>
      <c r="J14" s="19" t="s">
        <v>39</v>
      </c>
    </row>
    <row r="15" spans="4:16" s="2" customFormat="1" ht="30" customHeight="1" x14ac:dyDescent="0.25">
      <c r="E15" s="4" t="s">
        <v>8</v>
      </c>
      <c r="F15" s="6" t="s">
        <v>9</v>
      </c>
      <c r="G15" s="15">
        <v>7.93</v>
      </c>
      <c r="H15" s="15">
        <v>6.16</v>
      </c>
      <c r="I15" s="15">
        <v>4.76</v>
      </c>
      <c r="J15" s="19" t="s">
        <v>39</v>
      </c>
    </row>
    <row r="16" spans="4:16" s="2" customFormat="1" ht="30" customHeight="1" x14ac:dyDescent="0.25">
      <c r="E16" s="4" t="s">
        <v>10</v>
      </c>
      <c r="F16" s="6" t="s">
        <v>11</v>
      </c>
      <c r="G16" s="15">
        <v>0.18</v>
      </c>
      <c r="H16" s="15">
        <v>1.3</v>
      </c>
      <c r="I16" s="15">
        <v>0.5</v>
      </c>
      <c r="J16" s="19" t="s">
        <v>36</v>
      </c>
    </row>
    <row r="17" spans="5:10" s="2" customFormat="1" ht="28.5" customHeight="1" x14ac:dyDescent="0.25">
      <c r="E17" s="4" t="s">
        <v>12</v>
      </c>
      <c r="F17" s="6" t="s">
        <v>13</v>
      </c>
      <c r="G17" s="15">
        <v>1.6</v>
      </c>
      <c r="H17" s="15">
        <v>0.35</v>
      </c>
      <c r="I17" s="15">
        <v>1.3</v>
      </c>
      <c r="J17" s="20" t="s">
        <v>36</v>
      </c>
    </row>
    <row r="18" spans="5:10" s="2" customFormat="1" ht="30" customHeight="1" x14ac:dyDescent="0.25">
      <c r="E18" s="4" t="s">
        <v>14</v>
      </c>
      <c r="F18" s="6" t="s">
        <v>15</v>
      </c>
      <c r="G18" s="5">
        <f>(G16-G17)/2</f>
        <v>-0.71000000000000008</v>
      </c>
      <c r="H18" s="5">
        <f t="shared" ref="H18:I18" si="0">(H16-H17)/2</f>
        <v>0.47500000000000003</v>
      </c>
      <c r="I18" s="5">
        <f t="shared" si="0"/>
        <v>-0.4</v>
      </c>
      <c r="J18" s="20" t="s">
        <v>36</v>
      </c>
    </row>
    <row r="19" spans="5:10" s="2" customFormat="1" ht="30" customHeight="1" x14ac:dyDescent="0.25">
      <c r="E19" s="4" t="s">
        <v>16</v>
      </c>
      <c r="F19" s="6" t="s">
        <v>17</v>
      </c>
      <c r="G19" s="16">
        <f>$F$10 + $F$9*G18*G18/10000000</f>
        <v>4.9515790500000005E-4</v>
      </c>
      <c r="H19" s="16">
        <f t="shared" ref="H19:I19" si="1">$F$10 + $F$9*H18*H18/10000000</f>
        <v>4.8210856649999999E-4</v>
      </c>
      <c r="I19" s="16">
        <f t="shared" si="1"/>
        <v>4.7903337900000002E-4</v>
      </c>
      <c r="J19" s="20" t="s">
        <v>37</v>
      </c>
    </row>
    <row r="20" spans="5:10" s="2" customFormat="1" ht="30" customHeight="1" x14ac:dyDescent="0.25">
      <c r="E20" s="4" t="s">
        <v>18</v>
      </c>
      <c r="F20" s="6" t="s">
        <v>19</v>
      </c>
      <c r="G20" s="16">
        <f>$J$6+G19</f>
        <v>6.2573724295200001E-4</v>
      </c>
      <c r="H20" s="16">
        <f t="shared" ref="H20:I20" si="2">$J$6+H19</f>
        <v>6.1268790445199995E-4</v>
      </c>
      <c r="I20" s="16">
        <f t="shared" si="2"/>
        <v>6.0961271695199998E-4</v>
      </c>
      <c r="J20" s="20" t="s">
        <v>37</v>
      </c>
    </row>
    <row r="21" spans="5:10" s="2" customFormat="1" ht="30" customHeight="1" x14ac:dyDescent="0.25">
      <c r="E21" s="4" t="s">
        <v>20</v>
      </c>
      <c r="F21" s="6" t="s">
        <v>21</v>
      </c>
      <c r="G21" s="16">
        <f>$J$6*G14</f>
        <v>5.275405253260799E-3</v>
      </c>
      <c r="H21" s="16">
        <f t="shared" ref="H21:I21" si="3">$J$6*H14</f>
        <v>4.3482919538015991E-3</v>
      </c>
      <c r="I21" s="16">
        <f t="shared" si="3"/>
        <v>3.0835004863985277E-3</v>
      </c>
      <c r="J21" s="20" t="s">
        <v>40</v>
      </c>
    </row>
    <row r="22" spans="5:10" s="2" customFormat="1" ht="30" customHeight="1" x14ac:dyDescent="0.25">
      <c r="E22" s="4" t="s">
        <v>22</v>
      </c>
      <c r="F22" s="6" t="s">
        <v>23</v>
      </c>
      <c r="G22" s="16">
        <f>G20*G15</f>
        <v>4.9620963366093602E-3</v>
      </c>
      <c r="H22" s="16">
        <f t="shared" ref="H22:I22" si="4">H20*H15</f>
        <v>3.7741574914243198E-3</v>
      </c>
      <c r="I22" s="16">
        <f t="shared" si="4"/>
        <v>2.9017565326915199E-3</v>
      </c>
      <c r="J22" s="20" t="s">
        <v>40</v>
      </c>
    </row>
    <row r="23" spans="5:10" s="2" customFormat="1" ht="30" customHeight="1" x14ac:dyDescent="0.25">
      <c r="E23" s="4" t="s">
        <v>24</v>
      </c>
      <c r="F23" s="5"/>
      <c r="G23" s="17">
        <f>100*(G22-G21) / (G21)</f>
        <v>-5.9390492599175833</v>
      </c>
      <c r="H23" s="17">
        <f t="shared" ref="H23:I23" si="5">100*(H22-H21) / (H21)</f>
        <v>-13.203677868854422</v>
      </c>
      <c r="I23" s="17">
        <f t="shared" si="5"/>
        <v>-5.8940789699463076</v>
      </c>
      <c r="J23" s="19"/>
    </row>
    <row r="24" spans="5:10" s="2" customFormat="1" ht="17.25" customHeight="1" x14ac:dyDescent="0.25">
      <c r="E24" s="7"/>
      <c r="F24" s="8"/>
      <c r="G24" s="8"/>
      <c r="H24" s="8"/>
      <c r="I24" s="8"/>
      <c r="J24" s="19"/>
    </row>
    <row r="25" spans="5:10" s="2" customFormat="1" ht="30" customHeight="1" x14ac:dyDescent="0.25">
      <c r="E25" s="4" t="s">
        <v>25</v>
      </c>
      <c r="F25" s="5"/>
      <c r="G25" s="16">
        <f>0.5*$J$6*G14*G14</f>
        <v>0.10656318611586814</v>
      </c>
      <c r="H25" s="16">
        <f t="shared" ref="H25:I25" si="6">0.5*$J$6*H14*H14</f>
        <v>7.2399061030796616E-2</v>
      </c>
      <c r="I25" s="16">
        <f t="shared" si="6"/>
        <v>3.6406890242907421E-2</v>
      </c>
      <c r="J25" s="20" t="s">
        <v>41</v>
      </c>
    </row>
    <row r="26" spans="5:10" s="2" customFormat="1" ht="30" customHeight="1" x14ac:dyDescent="0.25">
      <c r="E26" s="4" t="s">
        <v>26</v>
      </c>
      <c r="F26" s="5"/>
      <c r="G26" s="16">
        <f>0.5*G20*G15*G15</f>
        <v>1.9674711974656114E-2</v>
      </c>
      <c r="H26" s="16">
        <f t="shared" ref="H26:I26" si="7">0.5*H20*H15*H15</f>
        <v>1.1624405073586905E-2</v>
      </c>
      <c r="I26" s="16">
        <f t="shared" si="7"/>
        <v>6.9061805478058168E-3</v>
      </c>
      <c r="J26" s="20" t="s">
        <v>41</v>
      </c>
    </row>
    <row r="27" spans="5:10" s="2" customFormat="1" ht="30" customHeight="1" x14ac:dyDescent="0.25">
      <c r="E27" s="4" t="s">
        <v>27</v>
      </c>
      <c r="F27" s="5"/>
      <c r="G27" s="17">
        <f>100*(G26-G25) / (G25)</f>
        <v>-81.537046055226398</v>
      </c>
      <c r="H27" s="17">
        <f t="shared" ref="H27:I27" si="8">100*(H26-H25) / (H25)</f>
        <v>-83.943983653818123</v>
      </c>
      <c r="I27" s="17">
        <f t="shared" si="8"/>
        <v>-81.030567286226159</v>
      </c>
      <c r="J27" s="19"/>
    </row>
    <row r="28" spans="5:10" s="2" customFormat="1" ht="15" customHeight="1" x14ac:dyDescent="0.25">
      <c r="E28" s="3"/>
      <c r="H28" s="2" t="s">
        <v>42</v>
      </c>
      <c r="I28" s="2" t="s">
        <v>43</v>
      </c>
      <c r="J28" s="19"/>
    </row>
    <row r="29" spans="5:10" s="2" customFormat="1" ht="15" customHeight="1" x14ac:dyDescent="0.25">
      <c r="J29" s="19"/>
    </row>
    <row r="30" spans="5:10" s="2" customFormat="1" ht="15" customHeight="1" x14ac:dyDescent="0.25">
      <c r="J30" s="19"/>
    </row>
    <row r="31" spans="5:10" ht="15" customHeight="1" x14ac:dyDescent="0.25"/>
  </sheetData>
  <mergeCells count="1">
    <mergeCell ref="E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khalid.bukhari</dc:creator>
  <cp:lastModifiedBy>khalid.bukhari</cp:lastModifiedBy>
  <dcterms:created xsi:type="dcterms:W3CDTF">2019-03-25T16:52:27Z</dcterms:created>
  <dcterms:modified xsi:type="dcterms:W3CDTF">2022-11-01T03:45:20Z</dcterms:modified>
</cp:coreProperties>
</file>